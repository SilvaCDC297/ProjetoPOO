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niz\Downloads\DA_JS_LP\E4\"/>
    </mc:Choice>
  </mc:AlternateContent>
  <xr:revisionPtr revIDLastSave="0" documentId="13_ncr:1_{7A698E65-8725-4394-ADB0-A0AA61EDE0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refas" sheetId="1" r:id="rId1"/>
    <sheet name="Resumo por entrega" sheetId="2" r:id="rId2"/>
    <sheet name="Registo semanal" sheetId="3" r:id="rId3"/>
    <sheet name="Legenda" sheetId="4" r:id="rId4"/>
  </sheets>
  <definedNames>
    <definedName name="_xlnm._FilterDatabase" localSheetId="0" hidden="1">Tarefas!$A$4:$K$40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2" l="1"/>
  <c r="E17" i="2"/>
  <c r="G16" i="2"/>
  <c r="E16" i="2"/>
  <c r="G15" i="2"/>
  <c r="E15" i="2"/>
  <c r="G9" i="2"/>
  <c r="G4" i="3" s="1"/>
  <c r="E9" i="2"/>
  <c r="D9" i="2"/>
  <c r="H8" i="2"/>
  <c r="G8" i="2"/>
  <c r="F8" i="2"/>
  <c r="E8" i="2"/>
  <c r="G7" i="2"/>
  <c r="H7" i="2" s="1"/>
  <c r="F7" i="2"/>
  <c r="E7" i="2"/>
  <c r="G6" i="2"/>
  <c r="H6" i="2" s="1"/>
  <c r="F6" i="2"/>
  <c r="E6" i="2"/>
  <c r="G5" i="2"/>
  <c r="H5" i="2" s="1"/>
  <c r="F5" i="2"/>
  <c r="E5" i="2"/>
  <c r="G4" i="2"/>
  <c r="H4" i="2" s="1"/>
  <c r="F4" i="2"/>
  <c r="F9" i="2" s="1"/>
  <c r="E4" i="2"/>
  <c r="J40" i="1"/>
  <c r="E40" i="1"/>
  <c r="J39" i="1"/>
  <c r="E39" i="1"/>
  <c r="J38" i="1"/>
  <c r="E38" i="1"/>
  <c r="J37" i="1"/>
  <c r="E37" i="1"/>
  <c r="J36" i="1"/>
  <c r="E36" i="1"/>
  <c r="J35" i="1"/>
  <c r="E35" i="1"/>
  <c r="J34" i="1"/>
  <c r="E34" i="1"/>
  <c r="J33" i="1"/>
  <c r="E33" i="1"/>
  <c r="J32" i="1"/>
  <c r="E32" i="1"/>
  <c r="J31" i="1"/>
  <c r="E31" i="1"/>
  <c r="J30" i="1"/>
  <c r="E30" i="1"/>
  <c r="J29" i="1"/>
  <c r="E29" i="1"/>
  <c r="J28" i="1"/>
  <c r="E28" i="1"/>
  <c r="J27" i="1"/>
  <c r="E27" i="1"/>
  <c r="J26" i="1"/>
  <c r="E26" i="1"/>
  <c r="J25" i="1"/>
  <c r="E25" i="1"/>
  <c r="J24" i="1"/>
  <c r="E24" i="1"/>
  <c r="J23" i="1"/>
  <c r="E23" i="1"/>
  <c r="J22" i="1"/>
  <c r="E22" i="1"/>
  <c r="J21" i="1"/>
  <c r="E21" i="1"/>
  <c r="J20" i="1"/>
  <c r="E20" i="1"/>
  <c r="J19" i="1"/>
  <c r="E19" i="1"/>
  <c r="J18" i="1"/>
  <c r="E18" i="1"/>
  <c r="J17" i="1"/>
  <c r="E17" i="1"/>
  <c r="J16" i="1"/>
  <c r="E16" i="1"/>
  <c r="J15" i="1"/>
  <c r="E15" i="1"/>
  <c r="J14" i="1"/>
  <c r="E14" i="1"/>
  <c r="J13" i="1"/>
  <c r="E13" i="1"/>
  <c r="J12" i="1"/>
  <c r="E12" i="1"/>
  <c r="J11" i="1"/>
  <c r="E11" i="1"/>
  <c r="J10" i="1"/>
  <c r="E10" i="1"/>
  <c r="J9" i="1"/>
  <c r="E9" i="1"/>
  <c r="J8" i="1"/>
  <c r="E8" i="1"/>
  <c r="J7" i="1"/>
  <c r="E7" i="1"/>
  <c r="J6" i="1"/>
  <c r="E6" i="1"/>
  <c r="J5" i="1"/>
  <c r="E5" i="1"/>
  <c r="H9" i="2" l="1"/>
</calcChain>
</file>

<file path=xl/sharedStrings.xml><?xml version="1.0" encoding="utf-8"?>
<sst xmlns="http://schemas.openxmlformats.org/spreadsheetml/2006/main" count="225" uniqueCount="148">
  <si>
    <t>Controlo de progresso – Projeto POO: Gestão de Reservas de Espaços Desportivos</t>
  </si>
  <si>
    <t>Grupo: Dinis Alves (pv28377), João Silva (pv27638), Lara Pereira (pv33163). Células a azul = a preencher/atualizar pelo grupo; fórmulas a preto.</t>
  </si>
  <si>
    <t>ID</t>
  </si>
  <si>
    <t>Entrega</t>
  </si>
  <si>
    <t>Tarefa</t>
  </si>
  <si>
    <t>Responsável</t>
  </si>
  <si>
    <t>Colaboradores</t>
  </si>
  <si>
    <t>Início previsto</t>
  </si>
  <si>
    <t>Fim previsto</t>
  </si>
  <si>
    <t>Fim real</t>
  </si>
  <si>
    <t>% execução</t>
  </si>
  <si>
    <t>Estado</t>
  </si>
  <si>
    <t>Notas</t>
  </si>
  <si>
    <t>T01</t>
  </si>
  <si>
    <t>E1</t>
  </si>
  <si>
    <t>Criar repositório de código-fonte no GitHub</t>
  </si>
  <si>
    <t>João Silva</t>
  </si>
  <si>
    <t>Repositório SilvaCDC297/ProjetoPOO criado (README inicial).</t>
  </si>
  <si>
    <t>T02</t>
  </si>
  <si>
    <t>Adicionar membros do grupo e docentes como colaboradores</t>
  </si>
  <si>
    <t>A confirmar no GitHub (Settings &gt; Collaborators).</t>
  </si>
  <si>
    <t>T03</t>
  </si>
  <si>
    <t>Descrição dos casos de uso (UC01–UC22) e regras de negócio</t>
  </si>
  <si>
    <t>Lara Pereira</t>
  </si>
  <si>
    <t>Rascunho pronto; falta revisão do grupo.</t>
  </si>
  <si>
    <t>T04</t>
  </si>
  <si>
    <t>Protótipos das interfaces de utilizador (P01–P10)</t>
  </si>
  <si>
    <t>Dinis Alves</t>
  </si>
  <si>
    <t>T05</t>
  </si>
  <si>
    <t>Diagrama UML de casos de uso (PlantUML + PNG)</t>
  </si>
  <si>
    <t>T06</t>
  </si>
  <si>
    <t>Diagramas UML de classes (domínio, arquitetura, exceções)</t>
  </si>
  <si>
    <t>T07</t>
  </si>
  <si>
    <t>Diagramas UML de sequência (registo, login, reservas, relatório)</t>
  </si>
  <si>
    <t>T08</t>
  </si>
  <si>
    <t>Revisão cruzada: coerência entre casos de uso, UML e protótipos</t>
  </si>
  <si>
    <t>Todos</t>
  </si>
  <si>
    <t>T09</t>
  </si>
  <si>
    <t>Preparar ficheiro de controlo de progresso</t>
  </si>
  <si>
    <t>Modelo inicial preenchido; atualizar semanalmente.</t>
  </si>
  <si>
    <t>T10</t>
  </si>
  <si>
    <t>Montar ZIP da Entrega 1 (DA_JS_LP.zip) e submeter</t>
  </si>
  <si>
    <t>Prazo: 15/10/2026 23:59.</t>
  </si>
  <si>
    <t>T11</t>
  </si>
  <si>
    <t>E2</t>
  </si>
  <si>
    <t>Estrutura inicial do projeto (pastas, .gitignore, README, branches)</t>
  </si>
  <si>
    <t>T12</t>
  </si>
  <si>
    <t>Esqueleto: enumerações, Utilizador, Administrador, UtilizadorNormal</t>
  </si>
  <si>
    <t>T13</t>
  </si>
  <si>
    <t>Esqueleto: EspacoDesportivo, subclasses e Equipamento</t>
  </si>
  <si>
    <t>T14</t>
  </si>
  <si>
    <t>Esqueleto: Reserva e transições de estado</t>
  </si>
  <si>
    <t>T15</t>
  </si>
  <si>
    <t>Esqueleto: hierarquia de exceções</t>
  </si>
  <si>
    <t>T16</t>
  </si>
  <si>
    <t>Esqueleto: gestores, repositórios (interface) e configuração</t>
  </si>
  <si>
    <t>T17</t>
  </si>
  <si>
    <t>Revisão, merge e atualização do controlo de progresso</t>
  </si>
  <si>
    <t>T18</t>
  </si>
  <si>
    <t>Montar ZIP da Entrega 2 e submeter</t>
  </si>
  <si>
    <t>Prazo: 05/11/2026 23:59.</t>
  </si>
  <si>
    <t>T19</t>
  </si>
  <si>
    <t>E3</t>
  </si>
  <si>
    <t>Lógica de utilizadores e espaços na consola</t>
  </si>
  <si>
    <t>T20</t>
  </si>
  <si>
    <t>Lógica de reservas, validações e deteção de conflitos</t>
  </si>
  <si>
    <t>T21</t>
  </si>
  <si>
    <t>Persistência em ficheiros JSON e verificação de consistência</t>
  </si>
  <si>
    <t>T22</t>
  </si>
  <si>
    <t>Agendador: expirar pendentes e concluir terminadas</t>
  </si>
  <si>
    <t>T23</t>
  </si>
  <si>
    <t>Integração do tratamento de exceções</t>
  </si>
  <si>
    <t>T24</t>
  </si>
  <si>
    <t>Interface web: autenticação e perfil</t>
  </si>
  <si>
    <t>T25</t>
  </si>
  <si>
    <t>Interface web: gestão de espaços e equipamentos</t>
  </si>
  <si>
    <t>T26</t>
  </si>
  <si>
    <t>Interface web: reservas (criar, consultar, alterar, cancelar, confirmar)</t>
  </si>
  <si>
    <t>T27</t>
  </si>
  <si>
    <t>Relatórios e gráficos</t>
  </si>
  <si>
    <t>T28</t>
  </si>
  <si>
    <t>Testes integrados e correção de erros</t>
  </si>
  <si>
    <t>T29</t>
  </si>
  <si>
    <t>Montar ZIP da Entrega 3 e submeter</t>
  </si>
  <si>
    <t>Prazo: 09/12/2026 23:59.</t>
  </si>
  <si>
    <t>T30</t>
  </si>
  <si>
    <t>E4</t>
  </si>
  <si>
    <t>Documentar e comentar o código-fonte</t>
  </si>
  <si>
    <t>T31</t>
  </si>
  <si>
    <t>Slides da apresentação (PowerPoint)</t>
  </si>
  <si>
    <t>T32</t>
  </si>
  <si>
    <t>Vídeo da apresentação (MPEG-4)</t>
  </si>
  <si>
    <t>T33</t>
  </si>
  <si>
    <t>Vídeo da demonstração (MPEG-4)</t>
  </si>
  <si>
    <t>T34</t>
  </si>
  <si>
    <t>Montar ZIP da Entrega 4 e submeter</t>
  </si>
  <si>
    <t>Prazo: 21/12/2026 23:59.</t>
  </si>
  <si>
    <t>T35</t>
  </si>
  <si>
    <t>E5</t>
  </si>
  <si>
    <t>Revisão final de todas as entregas e correção do funcionamento</t>
  </si>
  <si>
    <t>T36</t>
  </si>
  <si>
    <t>Montar ZIP da Entrega Completa (E0–E8) e submeter</t>
  </si>
  <si>
    <t>Prazo: 23/12/2026 23:59.</t>
  </si>
  <si>
    <t>Resumo do progresso por entrega</t>
  </si>
  <si>
    <t>Descrição</t>
  </si>
  <si>
    <t>Prazo</t>
  </si>
  <si>
    <t>Peso na nota final</t>
  </si>
  <si>
    <t>Nº tarefas</t>
  </si>
  <si>
    <t>Concluídas</t>
  </si>
  <si>
    <t>% execução média</t>
  </si>
  <si>
    <t>Contribuição para o total</t>
  </si>
  <si>
    <t>Modelação da solução</t>
  </si>
  <si>
    <t>Implementação das classes</t>
  </si>
  <si>
    <t>Desenvolvimento da solução</t>
  </si>
  <si>
    <t>Documentação da solução</t>
  </si>
  <si>
    <t>Entrega completa (revisão final)</t>
  </si>
  <si>
    <t>—</t>
  </si>
  <si>
    <t>Total</t>
  </si>
  <si>
    <t>Notas:</t>
  </si>
  <si>
    <t>• Prazos e pesos (E1 20%, E2 20%, E3 40%, E4 20%) retirados do enunciado do projeto (versão 1, 2026-09-24). A Entrega 5 é a entrega completa e não tem peso próprio.</t>
  </si>
  <si>
    <t>• «Contribuição para o total» = peso × % de execução média; o total é uma estimativa do progresso global do projeto.</t>
  </si>
  <si>
    <t>• Carga por elemento do grupo (nº de tarefas e % média, sem contar tarefas «Todos»):</t>
  </si>
  <si>
    <t>Registo semanal do progresso (preenchido por um elemento do grupo, por semana)</t>
  </si>
  <si>
    <t>Semana</t>
  </si>
  <si>
    <t>Data do registo</t>
  </si>
  <si>
    <t>Reportado por</t>
  </si>
  <si>
    <t>O que foi feito</t>
  </si>
  <si>
    <t>Problemas / bloqueios</t>
  </si>
  <si>
    <t>Próximos passos</t>
  </si>
  <si>
    <t>% global (Resumo)</t>
  </si>
  <si>
    <t>Repositório criado; rascunho dos casos de uso, protótipos e diagramas UML (casos de uso, classes, sequência).</t>
  </si>
  <si>
    <t>Confirmar que os docentes e todos os membros foram adicionados ao repositório.</t>
  </si>
  <si>
    <t>Revisão cruzada do grupo e submissão da Entrega 1 (15/10).</t>
  </si>
  <si>
    <t>Nota: a coluna «% global» da semana 1 é calculada; para as semanas seguintes copie o valor de 'Resumo por entrega'!G9 (como valor) no dia do registo, para manter o histórico.</t>
  </si>
  <si>
    <t>As datas das semanas 2 a 11 são sugestões (de 7 em 7 dias) e podem ser alteradas.</t>
  </si>
  <si>
    <t>Como usar este ficheiro</t>
  </si>
  <si>
    <t>1.</t>
  </si>
  <si>
    <t>Na folha «Tarefas», atualize a coluna «% execução» (0% a 100%), a «Fim real» e as «Notas». O «Estado» calcula-se sozinho.</t>
  </si>
  <si>
    <t>2.</t>
  </si>
  <si>
    <t>Todos os elementos contribuem para todas as tarefas: a coluna «Responsável» indica quem coordena a tarefa e «Colaboradores» os restantes elementos.</t>
  </si>
  <si>
    <t>3.</t>
  </si>
  <si>
    <t>Semanalmente, um elemento do grupo preenche uma linha em «Registo semanal».</t>
  </si>
  <si>
    <t>4.</t>
  </si>
  <si>
    <t>A folha «Resumo por entrega» calcula-se automaticamente a partir das tarefas.</t>
  </si>
  <si>
    <t>5.</t>
  </si>
  <si>
    <t>A atribuição de responsáveis e as datas previstas são uma proposta inicial: ajustem-nas em grupo.</t>
  </si>
  <si>
    <t>6.</t>
  </si>
  <si>
    <t>Os valores de % da Entrega 1 refletem rascunhos já preparados e ainda por rever; o repositório foi criado a 2026-10-07 (data dos ficheiros do clone).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</si>
</sst>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4EDDA"/>
      </patternFill>
    </fill>
  </fills>
  <borders count="2">
    <border>
      <left/>
      <right/>
      <top/>
      <bottom/>
      <diagonal/>
    </border>
    <border>
      <left style="thin">
        <color rgb="FF9AA6BD"/>
      </left>
      <right style="thin">
        <color rgb="FF9AA6BD"/>
      </right>
      <top style="thin">
        <color rgb="FF9AA6BD"/>
      </top>
      <bottom style="thin">
        <color rgb="FF9AA6B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9" fontId="4" fillId="0" borderId="1" xfId="0" applyNumberFormat="1" applyFont="1" applyBorder="1" applyAlignment="1">
      <alignment horizontal="center" vertical="top" wrapText="1"/>
    </xf>
    <xf numFmtId="0" fontId="9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2">
    <dxf>
      <fill>
        <patternFill>
          <bgColor rgb="FFFFF3CD"/>
        </patternFill>
      </fill>
    </dxf>
    <dxf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6BD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95" zoomScaleNormal="9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6" sqref="I6"/>
    </sheetView>
  </sheetViews>
  <sheetFormatPr defaultColWidth="8.6640625" defaultRowHeight="14.4" x14ac:dyDescent="0.3"/>
  <cols>
    <col min="1" max="1" width="7" customWidth="1"/>
    <col min="2" max="2" width="9" customWidth="1"/>
    <col min="3" max="3" width="62" customWidth="1"/>
    <col min="4" max="4" width="15" customWidth="1"/>
    <col min="5" max="5" width="28" customWidth="1"/>
    <col min="6" max="8" width="13" customWidth="1"/>
    <col min="9" max="9" width="12" customWidth="1"/>
    <col min="10" max="10" width="13" customWidth="1"/>
    <col min="11" max="11" width="48" customWidth="1"/>
  </cols>
  <sheetData>
    <row r="1" spans="1:11" ht="17.399999999999999" x14ac:dyDescent="0.3">
      <c r="A1" s="1" t="s">
        <v>0</v>
      </c>
    </row>
    <row r="2" spans="1:11" x14ac:dyDescent="0.3">
      <c r="A2" s="2" t="s">
        <v>1</v>
      </c>
    </row>
    <row r="4" spans="1:11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26.4" x14ac:dyDescent="0.3">
      <c r="A5" s="4" t="s">
        <v>13</v>
      </c>
      <c r="B5" s="4" t="s">
        <v>14</v>
      </c>
      <c r="C5" s="5" t="s">
        <v>15</v>
      </c>
      <c r="D5" s="6" t="s">
        <v>16</v>
      </c>
      <c r="E5" s="5" t="str">
        <f t="shared" ref="E5:E40" si="0">IF(D5="Todos","Dinis Alves, João Silva, Lara Pereira",IF(D5="Dinis Alves","João Silva, Lara Pereira",IF(D5="João Silva","Dinis Alves, Lara Pereira","Dinis Alves, João Silva")))</f>
        <v>Dinis Alves, Lara Pereira</v>
      </c>
      <c r="F5" s="7">
        <v>46302</v>
      </c>
      <c r="G5" s="7">
        <v>46302</v>
      </c>
      <c r="H5" s="7">
        <v>46302</v>
      </c>
      <c r="I5" s="8">
        <v>1</v>
      </c>
      <c r="J5" s="4" t="str">
        <f t="shared" ref="J5:J40" si="1">IF(I5&gt;=1,"Concluída",IF(I5&gt;0,"Em curso","Por iniciar"))</f>
        <v>Concluída</v>
      </c>
      <c r="K5" s="9" t="s">
        <v>17</v>
      </c>
    </row>
    <row r="6" spans="1:11" x14ac:dyDescent="0.3">
      <c r="A6" s="4" t="s">
        <v>18</v>
      </c>
      <c r="B6" s="4" t="s">
        <v>14</v>
      </c>
      <c r="C6" s="5" t="s">
        <v>19</v>
      </c>
      <c r="D6" s="6" t="s">
        <v>16</v>
      </c>
      <c r="E6" s="5" t="str">
        <f t="shared" si="0"/>
        <v>Dinis Alves, Lara Pereira</v>
      </c>
      <c r="F6" s="7">
        <v>46302</v>
      </c>
      <c r="G6" s="7">
        <v>46307</v>
      </c>
      <c r="H6" s="7"/>
      <c r="I6" s="8">
        <v>1</v>
      </c>
      <c r="J6" s="4" t="str">
        <f t="shared" si="1"/>
        <v>Concluída</v>
      </c>
      <c r="K6" s="9" t="s">
        <v>20</v>
      </c>
    </row>
    <row r="7" spans="1:11" x14ac:dyDescent="0.3">
      <c r="A7" s="4" t="s">
        <v>21</v>
      </c>
      <c r="B7" s="4" t="s">
        <v>14</v>
      </c>
      <c r="C7" s="5" t="s">
        <v>22</v>
      </c>
      <c r="D7" s="6" t="s">
        <v>23</v>
      </c>
      <c r="E7" s="5" t="str">
        <f t="shared" si="0"/>
        <v>Dinis Alves, João Silva</v>
      </c>
      <c r="F7" s="7">
        <v>46303</v>
      </c>
      <c r="G7" s="7">
        <v>46308</v>
      </c>
      <c r="H7" s="7"/>
      <c r="I7" s="8">
        <v>0.8</v>
      </c>
      <c r="J7" s="4" t="str">
        <f t="shared" si="1"/>
        <v>Em curso</v>
      </c>
      <c r="K7" s="9" t="s">
        <v>24</v>
      </c>
    </row>
    <row r="8" spans="1:11" x14ac:dyDescent="0.3">
      <c r="A8" s="4" t="s">
        <v>25</v>
      </c>
      <c r="B8" s="4" t="s">
        <v>14</v>
      </c>
      <c r="C8" s="5" t="s">
        <v>26</v>
      </c>
      <c r="D8" s="6" t="s">
        <v>27</v>
      </c>
      <c r="E8" s="5" t="str">
        <f t="shared" si="0"/>
        <v>João Silva, Lara Pereira</v>
      </c>
      <c r="F8" s="7">
        <v>46303</v>
      </c>
      <c r="G8" s="7">
        <v>46308</v>
      </c>
      <c r="H8" s="7"/>
      <c r="I8" s="8">
        <v>0.8</v>
      </c>
      <c r="J8" s="4" t="str">
        <f t="shared" si="1"/>
        <v>Em curso</v>
      </c>
      <c r="K8" s="9" t="s">
        <v>24</v>
      </c>
    </row>
    <row r="9" spans="1:11" x14ac:dyDescent="0.3">
      <c r="A9" s="4" t="s">
        <v>28</v>
      </c>
      <c r="B9" s="4" t="s">
        <v>14</v>
      </c>
      <c r="C9" s="5" t="s">
        <v>29</v>
      </c>
      <c r="D9" s="6" t="s">
        <v>16</v>
      </c>
      <c r="E9" s="5" t="str">
        <f t="shared" si="0"/>
        <v>Dinis Alves, Lara Pereira</v>
      </c>
      <c r="F9" s="7">
        <v>46303</v>
      </c>
      <c r="G9" s="7">
        <v>46307</v>
      </c>
      <c r="H9" s="7"/>
      <c r="I9" s="8">
        <v>0.8</v>
      </c>
      <c r="J9" s="4" t="str">
        <f t="shared" si="1"/>
        <v>Em curso</v>
      </c>
      <c r="K9" s="9" t="s">
        <v>24</v>
      </c>
    </row>
    <row r="10" spans="1:11" x14ac:dyDescent="0.3">
      <c r="A10" s="4" t="s">
        <v>30</v>
      </c>
      <c r="B10" s="4" t="s">
        <v>14</v>
      </c>
      <c r="C10" s="5" t="s">
        <v>31</v>
      </c>
      <c r="D10" s="6" t="s">
        <v>27</v>
      </c>
      <c r="E10" s="5" t="str">
        <f t="shared" si="0"/>
        <v>João Silva, Lara Pereira</v>
      </c>
      <c r="F10" s="7">
        <v>46303</v>
      </c>
      <c r="G10" s="7">
        <v>46308</v>
      </c>
      <c r="H10" s="7"/>
      <c r="I10" s="8">
        <v>0.8</v>
      </c>
      <c r="J10" s="4" t="str">
        <f t="shared" si="1"/>
        <v>Em curso</v>
      </c>
      <c r="K10" s="9" t="s">
        <v>24</v>
      </c>
    </row>
    <row r="11" spans="1:11" x14ac:dyDescent="0.3">
      <c r="A11" s="4" t="s">
        <v>32</v>
      </c>
      <c r="B11" s="4" t="s">
        <v>14</v>
      </c>
      <c r="C11" s="5" t="s">
        <v>33</v>
      </c>
      <c r="D11" s="6" t="s">
        <v>23</v>
      </c>
      <c r="E11" s="5" t="str">
        <f t="shared" si="0"/>
        <v>Dinis Alves, João Silva</v>
      </c>
      <c r="F11" s="7">
        <v>46303</v>
      </c>
      <c r="G11" s="7">
        <v>46308</v>
      </c>
      <c r="H11" s="7"/>
      <c r="I11" s="8">
        <v>0.8</v>
      </c>
      <c r="J11" s="4" t="str">
        <f t="shared" si="1"/>
        <v>Em curso</v>
      </c>
      <c r="K11" s="9" t="s">
        <v>24</v>
      </c>
    </row>
    <row r="12" spans="1:11" ht="26.4" x14ac:dyDescent="0.3">
      <c r="A12" s="4" t="s">
        <v>34</v>
      </c>
      <c r="B12" s="4" t="s">
        <v>14</v>
      </c>
      <c r="C12" s="5" t="s">
        <v>35</v>
      </c>
      <c r="D12" s="6" t="s">
        <v>36</v>
      </c>
      <c r="E12" s="5" t="str">
        <f t="shared" si="0"/>
        <v>Dinis Alves, João Silva, Lara Pereira</v>
      </c>
      <c r="F12" s="7">
        <v>46308</v>
      </c>
      <c r="G12" s="7">
        <v>46309</v>
      </c>
      <c r="H12" s="7"/>
      <c r="I12" s="8">
        <v>1</v>
      </c>
      <c r="J12" s="4" t="str">
        <f t="shared" si="1"/>
        <v>Concluída</v>
      </c>
      <c r="K12" s="9"/>
    </row>
    <row r="13" spans="1:11" x14ac:dyDescent="0.3">
      <c r="A13" s="4" t="s">
        <v>37</v>
      </c>
      <c r="B13" s="4" t="s">
        <v>14</v>
      </c>
      <c r="C13" s="5" t="s">
        <v>38</v>
      </c>
      <c r="D13" s="6" t="s">
        <v>23</v>
      </c>
      <c r="E13" s="5" t="str">
        <f t="shared" si="0"/>
        <v>Dinis Alves, João Silva</v>
      </c>
      <c r="F13" s="7">
        <v>46303</v>
      </c>
      <c r="G13" s="7">
        <v>46309</v>
      </c>
      <c r="H13" s="7"/>
      <c r="I13" s="8">
        <v>0.7</v>
      </c>
      <c r="J13" s="4" t="str">
        <f t="shared" si="1"/>
        <v>Em curso</v>
      </c>
      <c r="K13" s="9" t="s">
        <v>39</v>
      </c>
    </row>
    <row r="14" spans="1:11" x14ac:dyDescent="0.3">
      <c r="A14" s="4" t="s">
        <v>40</v>
      </c>
      <c r="B14" s="4" t="s">
        <v>14</v>
      </c>
      <c r="C14" s="5" t="s">
        <v>41</v>
      </c>
      <c r="D14" s="6" t="s">
        <v>23</v>
      </c>
      <c r="E14" s="5" t="str">
        <f t="shared" si="0"/>
        <v>Dinis Alves, João Silva</v>
      </c>
      <c r="F14" s="7">
        <v>46309</v>
      </c>
      <c r="G14" s="7">
        <v>46310</v>
      </c>
      <c r="H14" s="7"/>
      <c r="I14" s="8">
        <v>0</v>
      </c>
      <c r="J14" s="4" t="str">
        <f t="shared" si="1"/>
        <v>Por iniciar</v>
      </c>
      <c r="K14" s="9" t="s">
        <v>42</v>
      </c>
    </row>
    <row r="15" spans="1:11" x14ac:dyDescent="0.3">
      <c r="A15" s="4" t="s">
        <v>43</v>
      </c>
      <c r="B15" s="4" t="s">
        <v>44</v>
      </c>
      <c r="C15" s="5" t="s">
        <v>45</v>
      </c>
      <c r="D15" s="6" t="s">
        <v>16</v>
      </c>
      <c r="E15" s="5" t="str">
        <f t="shared" si="0"/>
        <v>Dinis Alves, Lara Pereira</v>
      </c>
      <c r="F15" s="7">
        <v>46311</v>
      </c>
      <c r="G15" s="7">
        <v>46315</v>
      </c>
      <c r="H15" s="7"/>
      <c r="I15" s="8">
        <v>0</v>
      </c>
      <c r="J15" s="4" t="str">
        <f t="shared" si="1"/>
        <v>Por iniciar</v>
      </c>
      <c r="K15" s="9"/>
    </row>
    <row r="16" spans="1:11" x14ac:dyDescent="0.3">
      <c r="A16" s="4" t="s">
        <v>46</v>
      </c>
      <c r="B16" s="4" t="s">
        <v>44</v>
      </c>
      <c r="C16" s="5" t="s">
        <v>47</v>
      </c>
      <c r="D16" s="6" t="s">
        <v>23</v>
      </c>
      <c r="E16" s="5" t="str">
        <f t="shared" si="0"/>
        <v>Dinis Alves, João Silva</v>
      </c>
      <c r="F16" s="7">
        <v>46314</v>
      </c>
      <c r="G16" s="7">
        <v>46321</v>
      </c>
      <c r="H16" s="7"/>
      <c r="I16" s="8">
        <v>0</v>
      </c>
      <c r="J16" s="4" t="str">
        <f t="shared" si="1"/>
        <v>Por iniciar</v>
      </c>
      <c r="K16" s="9"/>
    </row>
    <row r="17" spans="1:11" x14ac:dyDescent="0.3">
      <c r="A17" s="4" t="s">
        <v>48</v>
      </c>
      <c r="B17" s="4" t="s">
        <v>44</v>
      </c>
      <c r="C17" s="5" t="s">
        <v>49</v>
      </c>
      <c r="D17" s="6" t="s">
        <v>27</v>
      </c>
      <c r="E17" s="5" t="str">
        <f t="shared" si="0"/>
        <v>João Silva, Lara Pereira</v>
      </c>
      <c r="F17" s="7">
        <v>46314</v>
      </c>
      <c r="G17" s="7">
        <v>46321</v>
      </c>
      <c r="H17" s="7"/>
      <c r="I17" s="8">
        <v>0</v>
      </c>
      <c r="J17" s="4" t="str">
        <f t="shared" si="1"/>
        <v>Por iniciar</v>
      </c>
      <c r="K17" s="9"/>
    </row>
    <row r="18" spans="1:11" x14ac:dyDescent="0.3">
      <c r="A18" s="4" t="s">
        <v>50</v>
      </c>
      <c r="B18" s="4" t="s">
        <v>44</v>
      </c>
      <c r="C18" s="5" t="s">
        <v>51</v>
      </c>
      <c r="D18" s="6" t="s">
        <v>16</v>
      </c>
      <c r="E18" s="5" t="str">
        <f t="shared" si="0"/>
        <v>Dinis Alves, Lara Pereira</v>
      </c>
      <c r="F18" s="7">
        <v>46315</v>
      </c>
      <c r="G18" s="7">
        <v>46322</v>
      </c>
      <c r="H18" s="7"/>
      <c r="I18" s="8">
        <v>0</v>
      </c>
      <c r="J18" s="4" t="str">
        <f t="shared" si="1"/>
        <v>Por iniciar</v>
      </c>
      <c r="K18" s="9"/>
    </row>
    <row r="19" spans="1:11" x14ac:dyDescent="0.3">
      <c r="A19" s="4" t="s">
        <v>52</v>
      </c>
      <c r="B19" s="4" t="s">
        <v>44</v>
      </c>
      <c r="C19" s="5" t="s">
        <v>53</v>
      </c>
      <c r="D19" s="6" t="s">
        <v>23</v>
      </c>
      <c r="E19" s="5" t="str">
        <f t="shared" si="0"/>
        <v>Dinis Alves, João Silva</v>
      </c>
      <c r="F19" s="7">
        <v>46321</v>
      </c>
      <c r="G19" s="7">
        <v>46325</v>
      </c>
      <c r="H19" s="7"/>
      <c r="I19" s="8">
        <v>0</v>
      </c>
      <c r="J19" s="4" t="str">
        <f t="shared" si="1"/>
        <v>Por iniciar</v>
      </c>
      <c r="K19" s="9"/>
    </row>
    <row r="20" spans="1:11" x14ac:dyDescent="0.3">
      <c r="A20" s="4" t="s">
        <v>54</v>
      </c>
      <c r="B20" s="4" t="s">
        <v>44</v>
      </c>
      <c r="C20" s="5" t="s">
        <v>55</v>
      </c>
      <c r="D20" s="6" t="s">
        <v>27</v>
      </c>
      <c r="E20" s="5" t="str">
        <f t="shared" si="0"/>
        <v>João Silva, Lara Pereira</v>
      </c>
      <c r="F20" s="7">
        <v>46322</v>
      </c>
      <c r="G20" s="7">
        <v>46328</v>
      </c>
      <c r="H20" s="7"/>
      <c r="I20" s="8">
        <v>0</v>
      </c>
      <c r="J20" s="4" t="str">
        <f t="shared" si="1"/>
        <v>Por iniciar</v>
      </c>
      <c r="K20" s="9"/>
    </row>
    <row r="21" spans="1:11" ht="26.4" x14ac:dyDescent="0.3">
      <c r="A21" s="4" t="s">
        <v>56</v>
      </c>
      <c r="B21" s="4" t="s">
        <v>44</v>
      </c>
      <c r="C21" s="5" t="s">
        <v>57</v>
      </c>
      <c r="D21" s="6" t="s">
        <v>36</v>
      </c>
      <c r="E21" s="5" t="str">
        <f t="shared" si="0"/>
        <v>Dinis Alves, João Silva, Lara Pereira</v>
      </c>
      <c r="F21" s="7">
        <v>46329</v>
      </c>
      <c r="G21" s="7">
        <v>46330</v>
      </c>
      <c r="H21" s="7"/>
      <c r="I21" s="8">
        <v>0</v>
      </c>
      <c r="J21" s="4" t="str">
        <f t="shared" si="1"/>
        <v>Por iniciar</v>
      </c>
      <c r="K21" s="9"/>
    </row>
    <row r="22" spans="1:11" x14ac:dyDescent="0.3">
      <c r="A22" s="4" t="s">
        <v>58</v>
      </c>
      <c r="B22" s="4" t="s">
        <v>44</v>
      </c>
      <c r="C22" s="5" t="s">
        <v>59</v>
      </c>
      <c r="D22" s="6" t="s">
        <v>16</v>
      </c>
      <c r="E22" s="5" t="str">
        <f t="shared" si="0"/>
        <v>Dinis Alves, Lara Pereira</v>
      </c>
      <c r="F22" s="7">
        <v>46330</v>
      </c>
      <c r="G22" s="7">
        <v>46331</v>
      </c>
      <c r="H22" s="7"/>
      <c r="I22" s="8">
        <v>0</v>
      </c>
      <c r="J22" s="4" t="str">
        <f t="shared" si="1"/>
        <v>Por iniciar</v>
      </c>
      <c r="K22" s="9" t="s">
        <v>60</v>
      </c>
    </row>
    <row r="23" spans="1:11" x14ac:dyDescent="0.3">
      <c r="A23" s="4" t="s">
        <v>61</v>
      </c>
      <c r="B23" s="4" t="s">
        <v>62</v>
      </c>
      <c r="C23" s="5" t="s">
        <v>63</v>
      </c>
      <c r="D23" s="6" t="s">
        <v>23</v>
      </c>
      <c r="E23" s="5" t="str">
        <f t="shared" si="0"/>
        <v>Dinis Alves, João Silva</v>
      </c>
      <c r="F23" s="7">
        <v>46332</v>
      </c>
      <c r="G23" s="7">
        <v>46339</v>
      </c>
      <c r="H23" s="7"/>
      <c r="I23" s="8">
        <v>0</v>
      </c>
      <c r="J23" s="4" t="str">
        <f t="shared" si="1"/>
        <v>Por iniciar</v>
      </c>
      <c r="K23" s="9"/>
    </row>
    <row r="24" spans="1:11" x14ac:dyDescent="0.3">
      <c r="A24" s="4" t="s">
        <v>64</v>
      </c>
      <c r="B24" s="4" t="s">
        <v>62</v>
      </c>
      <c r="C24" s="5" t="s">
        <v>65</v>
      </c>
      <c r="D24" s="6" t="s">
        <v>16</v>
      </c>
      <c r="E24" s="5" t="str">
        <f t="shared" si="0"/>
        <v>Dinis Alves, Lara Pereira</v>
      </c>
      <c r="F24" s="7">
        <v>46332</v>
      </c>
      <c r="G24" s="7">
        <v>46343</v>
      </c>
      <c r="H24" s="7"/>
      <c r="I24" s="8">
        <v>0</v>
      </c>
      <c r="J24" s="4" t="str">
        <f t="shared" si="1"/>
        <v>Por iniciar</v>
      </c>
      <c r="K24" s="9"/>
    </row>
    <row r="25" spans="1:11" x14ac:dyDescent="0.3">
      <c r="A25" s="4" t="s">
        <v>66</v>
      </c>
      <c r="B25" s="4" t="s">
        <v>62</v>
      </c>
      <c r="C25" s="5" t="s">
        <v>67</v>
      </c>
      <c r="D25" s="6" t="s">
        <v>27</v>
      </c>
      <c r="E25" s="5" t="str">
        <f t="shared" si="0"/>
        <v>João Silva, Lara Pereira</v>
      </c>
      <c r="F25" s="7">
        <v>46335</v>
      </c>
      <c r="G25" s="7">
        <v>46346</v>
      </c>
      <c r="H25" s="7"/>
      <c r="I25" s="8">
        <v>0</v>
      </c>
      <c r="J25" s="4" t="str">
        <f t="shared" si="1"/>
        <v>Por iniciar</v>
      </c>
      <c r="K25" s="9"/>
    </row>
    <row r="26" spans="1:11" x14ac:dyDescent="0.3">
      <c r="A26" s="4" t="s">
        <v>68</v>
      </c>
      <c r="B26" s="4" t="s">
        <v>62</v>
      </c>
      <c r="C26" s="5" t="s">
        <v>69</v>
      </c>
      <c r="D26" s="6" t="s">
        <v>16</v>
      </c>
      <c r="E26" s="5" t="str">
        <f t="shared" si="0"/>
        <v>Dinis Alves, Lara Pereira</v>
      </c>
      <c r="F26" s="7">
        <v>46344</v>
      </c>
      <c r="G26" s="7">
        <v>46353</v>
      </c>
      <c r="H26" s="7"/>
      <c r="I26" s="8">
        <v>0</v>
      </c>
      <c r="J26" s="4" t="str">
        <f t="shared" si="1"/>
        <v>Por iniciar</v>
      </c>
      <c r="K26" s="9"/>
    </row>
    <row r="27" spans="1:11" x14ac:dyDescent="0.3">
      <c r="A27" s="4" t="s">
        <v>70</v>
      </c>
      <c r="B27" s="4" t="s">
        <v>62</v>
      </c>
      <c r="C27" s="5" t="s">
        <v>71</v>
      </c>
      <c r="D27" s="6" t="s">
        <v>23</v>
      </c>
      <c r="E27" s="5" t="str">
        <f t="shared" si="0"/>
        <v>Dinis Alves, João Silva</v>
      </c>
      <c r="F27" s="7">
        <v>46342</v>
      </c>
      <c r="G27" s="7">
        <v>46349</v>
      </c>
      <c r="H27" s="7"/>
      <c r="I27" s="8">
        <v>0</v>
      </c>
      <c r="J27" s="4" t="str">
        <f t="shared" si="1"/>
        <v>Por iniciar</v>
      </c>
      <c r="K27" s="9"/>
    </row>
    <row r="28" spans="1:11" x14ac:dyDescent="0.3">
      <c r="A28" s="4" t="s">
        <v>72</v>
      </c>
      <c r="B28" s="4" t="s">
        <v>62</v>
      </c>
      <c r="C28" s="5" t="s">
        <v>73</v>
      </c>
      <c r="D28" s="6" t="s">
        <v>27</v>
      </c>
      <c r="E28" s="5" t="str">
        <f t="shared" si="0"/>
        <v>João Silva, Lara Pereira</v>
      </c>
      <c r="F28" s="7">
        <v>46342</v>
      </c>
      <c r="G28" s="7">
        <v>46351</v>
      </c>
      <c r="H28" s="7"/>
      <c r="I28" s="8">
        <v>0</v>
      </c>
      <c r="J28" s="4" t="str">
        <f t="shared" si="1"/>
        <v>Por iniciar</v>
      </c>
      <c r="K28" s="9"/>
    </row>
    <row r="29" spans="1:11" x14ac:dyDescent="0.3">
      <c r="A29" s="4" t="s">
        <v>74</v>
      </c>
      <c r="B29" s="4" t="s">
        <v>62</v>
      </c>
      <c r="C29" s="5" t="s">
        <v>75</v>
      </c>
      <c r="D29" s="6" t="s">
        <v>23</v>
      </c>
      <c r="E29" s="5" t="str">
        <f t="shared" si="0"/>
        <v>Dinis Alves, João Silva</v>
      </c>
      <c r="F29" s="7">
        <v>46349</v>
      </c>
      <c r="G29" s="7">
        <v>46357</v>
      </c>
      <c r="H29" s="7"/>
      <c r="I29" s="8">
        <v>0</v>
      </c>
      <c r="J29" s="4" t="str">
        <f t="shared" si="1"/>
        <v>Por iniciar</v>
      </c>
      <c r="K29" s="9"/>
    </row>
    <row r="30" spans="1:11" x14ac:dyDescent="0.3">
      <c r="A30" s="4" t="s">
        <v>76</v>
      </c>
      <c r="B30" s="4" t="s">
        <v>62</v>
      </c>
      <c r="C30" s="5" t="s">
        <v>77</v>
      </c>
      <c r="D30" s="6" t="s">
        <v>16</v>
      </c>
      <c r="E30" s="5" t="str">
        <f t="shared" si="0"/>
        <v>Dinis Alves, Lara Pereira</v>
      </c>
      <c r="F30" s="7">
        <v>46349</v>
      </c>
      <c r="G30" s="7">
        <v>46358</v>
      </c>
      <c r="H30" s="7"/>
      <c r="I30" s="8">
        <v>0</v>
      </c>
      <c r="J30" s="4" t="str">
        <f t="shared" si="1"/>
        <v>Por iniciar</v>
      </c>
      <c r="K30" s="9"/>
    </row>
    <row r="31" spans="1:11" x14ac:dyDescent="0.3">
      <c r="A31" s="4" t="s">
        <v>78</v>
      </c>
      <c r="B31" s="4" t="s">
        <v>62</v>
      </c>
      <c r="C31" s="5" t="s">
        <v>79</v>
      </c>
      <c r="D31" s="6" t="s">
        <v>27</v>
      </c>
      <c r="E31" s="5" t="str">
        <f t="shared" si="0"/>
        <v>João Silva, Lara Pereira</v>
      </c>
      <c r="F31" s="7">
        <v>46351</v>
      </c>
      <c r="G31" s="7">
        <v>46360</v>
      </c>
      <c r="H31" s="7"/>
      <c r="I31" s="8">
        <v>0</v>
      </c>
      <c r="J31" s="4" t="str">
        <f t="shared" si="1"/>
        <v>Por iniciar</v>
      </c>
      <c r="K31" s="9"/>
    </row>
    <row r="32" spans="1:11" ht="26.4" x14ac:dyDescent="0.3">
      <c r="A32" s="4" t="s">
        <v>80</v>
      </c>
      <c r="B32" s="4" t="s">
        <v>62</v>
      </c>
      <c r="C32" s="5" t="s">
        <v>81</v>
      </c>
      <c r="D32" s="6" t="s">
        <v>36</v>
      </c>
      <c r="E32" s="5" t="str">
        <f t="shared" si="0"/>
        <v>Dinis Alves, João Silva, Lara Pereira</v>
      </c>
      <c r="F32" s="7">
        <v>46358</v>
      </c>
      <c r="G32" s="7">
        <v>46364</v>
      </c>
      <c r="H32" s="7"/>
      <c r="I32" s="8">
        <v>0</v>
      </c>
      <c r="J32" s="4" t="str">
        <f t="shared" si="1"/>
        <v>Por iniciar</v>
      </c>
      <c r="K32" s="9"/>
    </row>
    <row r="33" spans="1:11" x14ac:dyDescent="0.3">
      <c r="A33" s="4" t="s">
        <v>82</v>
      </c>
      <c r="B33" s="4" t="s">
        <v>62</v>
      </c>
      <c r="C33" s="5" t="s">
        <v>83</v>
      </c>
      <c r="D33" s="6" t="s">
        <v>27</v>
      </c>
      <c r="E33" s="5" t="str">
        <f t="shared" si="0"/>
        <v>João Silva, Lara Pereira</v>
      </c>
      <c r="F33" s="7">
        <v>46364</v>
      </c>
      <c r="G33" s="7">
        <v>46365</v>
      </c>
      <c r="H33" s="7"/>
      <c r="I33" s="8">
        <v>0</v>
      </c>
      <c r="J33" s="4" t="str">
        <f t="shared" si="1"/>
        <v>Por iniciar</v>
      </c>
      <c r="K33" s="9" t="s">
        <v>84</v>
      </c>
    </row>
    <row r="34" spans="1:11" ht="26.4" x14ac:dyDescent="0.3">
      <c r="A34" s="4" t="s">
        <v>85</v>
      </c>
      <c r="B34" s="4" t="s">
        <v>86</v>
      </c>
      <c r="C34" s="5" t="s">
        <v>87</v>
      </c>
      <c r="D34" s="6" t="s">
        <v>36</v>
      </c>
      <c r="E34" s="5" t="str">
        <f t="shared" si="0"/>
        <v>Dinis Alves, João Silva, Lara Pereira</v>
      </c>
      <c r="F34" s="7">
        <v>46366</v>
      </c>
      <c r="G34" s="7">
        <v>46373</v>
      </c>
      <c r="H34" s="7"/>
      <c r="I34" s="8">
        <v>0</v>
      </c>
      <c r="J34" s="4" t="str">
        <f t="shared" si="1"/>
        <v>Por iniciar</v>
      </c>
      <c r="K34" s="9"/>
    </row>
    <row r="35" spans="1:11" x14ac:dyDescent="0.3">
      <c r="A35" s="4" t="s">
        <v>88</v>
      </c>
      <c r="B35" s="4" t="s">
        <v>86</v>
      </c>
      <c r="C35" s="5" t="s">
        <v>89</v>
      </c>
      <c r="D35" s="6" t="s">
        <v>23</v>
      </c>
      <c r="E35" s="5" t="str">
        <f t="shared" si="0"/>
        <v>Dinis Alves, João Silva</v>
      </c>
      <c r="F35" s="7">
        <v>46366</v>
      </c>
      <c r="G35" s="7">
        <v>46372</v>
      </c>
      <c r="H35" s="7"/>
      <c r="I35" s="8">
        <v>0</v>
      </c>
      <c r="J35" s="4" t="str">
        <f t="shared" si="1"/>
        <v>Por iniciar</v>
      </c>
      <c r="K35" s="9"/>
    </row>
    <row r="36" spans="1:11" x14ac:dyDescent="0.3">
      <c r="A36" s="4" t="s">
        <v>90</v>
      </c>
      <c r="B36" s="4" t="s">
        <v>86</v>
      </c>
      <c r="C36" s="5" t="s">
        <v>91</v>
      </c>
      <c r="D36" s="6" t="s">
        <v>27</v>
      </c>
      <c r="E36" s="5" t="str">
        <f t="shared" si="0"/>
        <v>João Silva, Lara Pereira</v>
      </c>
      <c r="F36" s="7">
        <v>46372</v>
      </c>
      <c r="G36" s="7">
        <v>46375</v>
      </c>
      <c r="H36" s="7"/>
      <c r="I36" s="8">
        <v>0</v>
      </c>
      <c r="J36" s="4" t="str">
        <f t="shared" si="1"/>
        <v>Por iniciar</v>
      </c>
      <c r="K36" s="9"/>
    </row>
    <row r="37" spans="1:11" x14ac:dyDescent="0.3">
      <c r="A37" s="4" t="s">
        <v>92</v>
      </c>
      <c r="B37" s="4" t="s">
        <v>86</v>
      </c>
      <c r="C37" s="5" t="s">
        <v>93</v>
      </c>
      <c r="D37" s="6" t="s">
        <v>16</v>
      </c>
      <c r="E37" s="5" t="str">
        <f t="shared" si="0"/>
        <v>Dinis Alves, Lara Pereira</v>
      </c>
      <c r="F37" s="7">
        <v>46372</v>
      </c>
      <c r="G37" s="7">
        <v>46375</v>
      </c>
      <c r="H37" s="7"/>
      <c r="I37" s="8">
        <v>0</v>
      </c>
      <c r="J37" s="4" t="str">
        <f t="shared" si="1"/>
        <v>Por iniciar</v>
      </c>
      <c r="K37" s="9"/>
    </row>
    <row r="38" spans="1:11" x14ac:dyDescent="0.3">
      <c r="A38" s="4" t="s">
        <v>94</v>
      </c>
      <c r="B38" s="4" t="s">
        <v>86</v>
      </c>
      <c r="C38" s="5" t="s">
        <v>95</v>
      </c>
      <c r="D38" s="6" t="s">
        <v>23</v>
      </c>
      <c r="E38" s="5" t="str">
        <f t="shared" si="0"/>
        <v>Dinis Alves, João Silva</v>
      </c>
      <c r="F38" s="7">
        <v>46376</v>
      </c>
      <c r="G38" s="7">
        <v>46377</v>
      </c>
      <c r="H38" s="7"/>
      <c r="I38" s="8">
        <v>0</v>
      </c>
      <c r="J38" s="4" t="str">
        <f t="shared" si="1"/>
        <v>Por iniciar</v>
      </c>
      <c r="K38" s="9" t="s">
        <v>96</v>
      </c>
    </row>
    <row r="39" spans="1:11" ht="26.4" x14ac:dyDescent="0.3">
      <c r="A39" s="4" t="s">
        <v>97</v>
      </c>
      <c r="B39" s="4" t="s">
        <v>98</v>
      </c>
      <c r="C39" s="5" t="s">
        <v>99</v>
      </c>
      <c r="D39" s="6" t="s">
        <v>36</v>
      </c>
      <c r="E39" s="5" t="str">
        <f t="shared" si="0"/>
        <v>Dinis Alves, João Silva, Lara Pereira</v>
      </c>
      <c r="F39" s="7">
        <v>46377</v>
      </c>
      <c r="G39" s="7">
        <v>46378</v>
      </c>
      <c r="H39" s="7"/>
      <c r="I39" s="8">
        <v>0</v>
      </c>
      <c r="J39" s="4" t="str">
        <f t="shared" si="1"/>
        <v>Por iniciar</v>
      </c>
      <c r="K39" s="9"/>
    </row>
    <row r="40" spans="1:11" x14ac:dyDescent="0.3">
      <c r="A40" s="4" t="s">
        <v>100</v>
      </c>
      <c r="B40" s="4" t="s">
        <v>98</v>
      </c>
      <c r="C40" s="5" t="s">
        <v>101</v>
      </c>
      <c r="D40" s="6" t="s">
        <v>16</v>
      </c>
      <c r="E40" s="5" t="str">
        <f t="shared" si="0"/>
        <v>Dinis Alves, Lara Pereira</v>
      </c>
      <c r="F40" s="7">
        <v>46378</v>
      </c>
      <c r="G40" s="7">
        <v>46379</v>
      </c>
      <c r="H40" s="7"/>
      <c r="I40" s="8">
        <v>0</v>
      </c>
      <c r="J40" s="4" t="str">
        <f t="shared" si="1"/>
        <v>Por iniciar</v>
      </c>
      <c r="K40" s="9" t="s">
        <v>102</v>
      </c>
    </row>
  </sheetData>
  <autoFilter ref="A4:K40" xr:uid="{00000000-0009-0000-0000-000000000000}"/>
  <conditionalFormatting sqref="I5:I40">
    <cfRule type="dataBar" priority="4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{64C76E27-B030-404B-8D98-6A8ED4E4206E}</x14:id>
        </ext>
      </extLst>
    </cfRule>
  </conditionalFormatting>
  <conditionalFormatting sqref="J5:J40">
    <cfRule type="cellIs" dxfId="1" priority="2" operator="equal">
      <formula>"Concluída"</formula>
    </cfRule>
    <cfRule type="cellIs" dxfId="0" priority="3" operator="equal">
      <formula>"Em curso"</formula>
    </cfRule>
  </conditionalFormatting>
  <dataValidations count="2">
    <dataValidation type="list" sqref="D5:D40" xr:uid="{00000000-0002-0000-0000-000000000000}">
      <formula1>"Dinis Alves,João Silva,Lara Pereira,Todos"</formula1>
      <formula2>0</formula2>
    </dataValidation>
    <dataValidation type="decimal" showErrorMessage="1" errorTitle="% inválida" error="Introduza um valor entre 0% e 100%." sqref="I5:I40" xr:uid="{00000000-0002-0000-0000-000001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C76E27-B030-404B-8D98-6A8ED4E4206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I5:I40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36" customWidth="1"/>
    <col min="3" max="3" width="13" customWidth="1"/>
    <col min="4" max="4" width="14" customWidth="1"/>
    <col min="5" max="6" width="12" customWidth="1"/>
    <col min="7" max="8" width="16" customWidth="1"/>
  </cols>
  <sheetData>
    <row r="1" spans="1:8" ht="17.399999999999999" x14ac:dyDescent="0.3">
      <c r="A1" s="1" t="s">
        <v>103</v>
      </c>
    </row>
    <row r="3" spans="1:8" ht="31.5" customHeight="1" x14ac:dyDescent="0.3">
      <c r="A3" s="3" t="s">
        <v>3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108</v>
      </c>
      <c r="G3" s="3" t="s">
        <v>109</v>
      </c>
      <c r="H3" s="3" t="s">
        <v>110</v>
      </c>
    </row>
    <row r="4" spans="1:8" x14ac:dyDescent="0.3">
      <c r="A4" s="10" t="s">
        <v>14</v>
      </c>
      <c r="B4" s="11" t="s">
        <v>111</v>
      </c>
      <c r="C4" s="12">
        <v>46310</v>
      </c>
      <c r="D4" s="13">
        <v>0.2</v>
      </c>
      <c r="E4" s="10">
        <f>COUNTIF(Tarefas!$B$5:$B$40,A4)</f>
        <v>10</v>
      </c>
      <c r="F4" s="10">
        <f>COUNTIFS(Tarefas!$B$5:$B$40,A4,Tarefas!$I$5:$I$40,"&gt;=1")</f>
        <v>3</v>
      </c>
      <c r="G4" s="14">
        <f>IFERROR(AVERAGEIF(Tarefas!$B$5:$B$40,A4,Tarefas!$I$5:$I$40),0)</f>
        <v>0.76999999999999991</v>
      </c>
      <c r="H4" s="15">
        <f>IF(ISNUMBER(D4),D4*G4,"—")</f>
        <v>0.154</v>
      </c>
    </row>
    <row r="5" spans="1:8" x14ac:dyDescent="0.3">
      <c r="A5" s="10" t="s">
        <v>44</v>
      </c>
      <c r="B5" s="11" t="s">
        <v>112</v>
      </c>
      <c r="C5" s="12">
        <v>46331</v>
      </c>
      <c r="D5" s="13">
        <v>0.2</v>
      </c>
      <c r="E5" s="10">
        <f>COUNTIF(Tarefas!$B$5:$B$40,A5)</f>
        <v>8</v>
      </c>
      <c r="F5" s="10">
        <f>COUNTIFS(Tarefas!$B$5:$B$40,A5,Tarefas!$I$5:$I$40,"&gt;=1")</f>
        <v>0</v>
      </c>
      <c r="G5" s="14">
        <f>IFERROR(AVERAGEIF(Tarefas!$B$5:$B$40,A5,Tarefas!$I$5:$I$40),0)</f>
        <v>0</v>
      </c>
      <c r="H5" s="15">
        <f>IF(ISNUMBER(D5),D5*G5,"—")</f>
        <v>0</v>
      </c>
    </row>
    <row r="6" spans="1:8" x14ac:dyDescent="0.3">
      <c r="A6" s="10" t="s">
        <v>62</v>
      </c>
      <c r="B6" s="11" t="s">
        <v>113</v>
      </c>
      <c r="C6" s="12">
        <v>46365</v>
      </c>
      <c r="D6" s="13">
        <v>0.4</v>
      </c>
      <c r="E6" s="10">
        <f>COUNTIF(Tarefas!$B$5:$B$40,A6)</f>
        <v>11</v>
      </c>
      <c r="F6" s="10">
        <f>COUNTIFS(Tarefas!$B$5:$B$40,A6,Tarefas!$I$5:$I$40,"&gt;=1")</f>
        <v>0</v>
      </c>
      <c r="G6" s="14">
        <f>IFERROR(AVERAGEIF(Tarefas!$B$5:$B$40,A6,Tarefas!$I$5:$I$40),0)</f>
        <v>0</v>
      </c>
      <c r="H6" s="15">
        <f>IF(ISNUMBER(D6),D6*G6,"—")</f>
        <v>0</v>
      </c>
    </row>
    <row r="7" spans="1:8" x14ac:dyDescent="0.3">
      <c r="A7" s="10" t="s">
        <v>86</v>
      </c>
      <c r="B7" s="11" t="s">
        <v>114</v>
      </c>
      <c r="C7" s="12">
        <v>46377</v>
      </c>
      <c r="D7" s="13">
        <v>0.2</v>
      </c>
      <c r="E7" s="10">
        <f>COUNTIF(Tarefas!$B$5:$B$40,A7)</f>
        <v>5</v>
      </c>
      <c r="F7" s="10">
        <f>COUNTIFS(Tarefas!$B$5:$B$40,A7,Tarefas!$I$5:$I$40,"&gt;=1")</f>
        <v>0</v>
      </c>
      <c r="G7" s="14">
        <f>IFERROR(AVERAGEIF(Tarefas!$B$5:$B$40,A7,Tarefas!$I$5:$I$40),0)</f>
        <v>0</v>
      </c>
      <c r="H7" s="15">
        <f>IF(ISNUMBER(D7),D7*G7,"—")</f>
        <v>0</v>
      </c>
    </row>
    <row r="8" spans="1:8" x14ac:dyDescent="0.3">
      <c r="A8" s="10" t="s">
        <v>98</v>
      </c>
      <c r="B8" s="11" t="s">
        <v>115</v>
      </c>
      <c r="C8" s="12">
        <v>46379</v>
      </c>
      <c r="D8" s="13" t="s">
        <v>116</v>
      </c>
      <c r="E8" s="10">
        <f>COUNTIF(Tarefas!$B$5:$B$40,A8)</f>
        <v>2</v>
      </c>
      <c r="F8" s="10">
        <f>COUNTIFS(Tarefas!$B$5:$B$40,A8,Tarefas!$I$5:$I$40,"&gt;=1")</f>
        <v>0</v>
      </c>
      <c r="G8" s="14">
        <f>IFERROR(AVERAGEIF(Tarefas!$B$5:$B$40,A8,Tarefas!$I$5:$I$40),0)</f>
        <v>0</v>
      </c>
      <c r="H8" s="15" t="str">
        <f>IF(ISNUMBER(D8),D8*G8,"—")</f>
        <v>—</v>
      </c>
    </row>
    <row r="9" spans="1:8" x14ac:dyDescent="0.3">
      <c r="A9" s="16" t="s">
        <v>117</v>
      </c>
      <c r="B9" s="16"/>
      <c r="C9" s="16"/>
      <c r="D9" s="17">
        <f>SUM(D4:D7)</f>
        <v>1</v>
      </c>
      <c r="E9" s="16">
        <f>SUM(E4:E8)</f>
        <v>36</v>
      </c>
      <c r="F9" s="16">
        <f>SUM(F4:F8)</f>
        <v>3</v>
      </c>
      <c r="G9" s="17">
        <f>IFERROR(AVERAGE(Tarefas!$I$5:$I$40),0)</f>
        <v>0.21388888888888888</v>
      </c>
      <c r="H9" s="18">
        <f>SUM(H4:H7)</f>
        <v>0.154</v>
      </c>
    </row>
    <row r="11" spans="1:8" x14ac:dyDescent="0.3">
      <c r="A11" s="19" t="s">
        <v>118</v>
      </c>
    </row>
    <row r="12" spans="1:8" x14ac:dyDescent="0.3">
      <c r="A12" s="20" t="s">
        <v>119</v>
      </c>
    </row>
    <row r="13" spans="1:8" x14ac:dyDescent="0.3">
      <c r="A13" s="20" t="s">
        <v>120</v>
      </c>
    </row>
    <row r="14" spans="1:8" x14ac:dyDescent="0.3">
      <c r="A14" s="20" t="s">
        <v>121</v>
      </c>
    </row>
    <row r="15" spans="1:8" x14ac:dyDescent="0.3">
      <c r="B15" s="21" t="s">
        <v>27</v>
      </c>
      <c r="E15" s="22">
        <f>COUNTIF(Tarefas!$D$5:$D$40,B15)</f>
        <v>9</v>
      </c>
      <c r="G15" s="23">
        <f>IFERROR(AVERAGEIF(Tarefas!$D$5:$D$40,B15,Tarefas!$I$5:$I$40),0)</f>
        <v>0.17777777777777778</v>
      </c>
    </row>
    <row r="16" spans="1:8" x14ac:dyDescent="0.3">
      <c r="B16" s="21" t="s">
        <v>16</v>
      </c>
      <c r="E16" s="22">
        <f>COUNTIF(Tarefas!$D$5:$D$40,B16)</f>
        <v>11</v>
      </c>
      <c r="G16" s="23">
        <f>IFERROR(AVERAGEIF(Tarefas!$D$5:$D$40,B16,Tarefas!$I$5:$I$40),0)</f>
        <v>0.25454545454545452</v>
      </c>
    </row>
    <row r="17" spans="2:7" x14ac:dyDescent="0.3">
      <c r="B17" s="21" t="s">
        <v>23</v>
      </c>
      <c r="E17" s="22">
        <f>COUNTIF(Tarefas!$D$5:$D$40,B17)</f>
        <v>11</v>
      </c>
      <c r="G17" s="23">
        <f>IFERROR(AVERAGEIF(Tarefas!$D$5:$D$40,B17,Tarefas!$I$5:$I$40),0)</f>
        <v>0.20909090909090908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/>
  </sheetViews>
  <sheetFormatPr defaultColWidth="8.6640625" defaultRowHeight="14.4" x14ac:dyDescent="0.3"/>
  <cols>
    <col min="1" max="1" width="9" customWidth="1"/>
    <col min="2" max="2" width="14" customWidth="1"/>
    <col min="3" max="3" width="16" customWidth="1"/>
    <col min="4" max="4" width="55" customWidth="1"/>
    <col min="5" max="5" width="40" customWidth="1"/>
    <col min="6" max="6" width="45" customWidth="1"/>
    <col min="7" max="7" width="14" customWidth="1"/>
  </cols>
  <sheetData>
    <row r="1" spans="1:7" ht="17.399999999999999" x14ac:dyDescent="0.3">
      <c r="A1" s="1" t="s">
        <v>122</v>
      </c>
    </row>
    <row r="3" spans="1:7" ht="26.4" x14ac:dyDescent="0.3">
      <c r="A3" s="3" t="s">
        <v>123</v>
      </c>
      <c r="B3" s="3" t="s">
        <v>124</v>
      </c>
      <c r="C3" s="3" t="s">
        <v>125</v>
      </c>
      <c r="D3" s="3" t="s">
        <v>126</v>
      </c>
      <c r="E3" s="3" t="s">
        <v>127</v>
      </c>
      <c r="F3" s="3" t="s">
        <v>128</v>
      </c>
      <c r="G3" s="3" t="s">
        <v>129</v>
      </c>
    </row>
    <row r="4" spans="1:7" ht="61.5" customHeight="1" x14ac:dyDescent="0.3">
      <c r="A4" s="24">
        <v>1</v>
      </c>
      <c r="B4" s="25">
        <v>46303</v>
      </c>
      <c r="C4" s="26" t="s">
        <v>23</v>
      </c>
      <c r="D4" s="27" t="s">
        <v>130</v>
      </c>
      <c r="E4" s="27" t="s">
        <v>131</v>
      </c>
      <c r="F4" s="27" t="s">
        <v>132</v>
      </c>
      <c r="G4" s="28">
        <f>'Resumo por entrega'!G9</f>
        <v>0.21388888888888888</v>
      </c>
    </row>
    <row r="5" spans="1:7" x14ac:dyDescent="0.3">
      <c r="A5" s="24">
        <v>2</v>
      </c>
      <c r="B5" s="25">
        <v>46310</v>
      </c>
      <c r="C5" s="26"/>
      <c r="D5" s="27"/>
      <c r="E5" s="27"/>
      <c r="F5" s="27"/>
      <c r="G5" s="28"/>
    </row>
    <row r="6" spans="1:7" x14ac:dyDescent="0.3">
      <c r="A6" s="24">
        <v>3</v>
      </c>
      <c r="B6" s="25">
        <v>46317</v>
      </c>
      <c r="C6" s="26"/>
      <c r="D6" s="27"/>
      <c r="E6" s="27"/>
      <c r="F6" s="27"/>
      <c r="G6" s="28"/>
    </row>
    <row r="7" spans="1:7" x14ac:dyDescent="0.3">
      <c r="A7" s="24">
        <v>4</v>
      </c>
      <c r="B7" s="25">
        <v>46324</v>
      </c>
      <c r="C7" s="26"/>
      <c r="D7" s="27"/>
      <c r="E7" s="27"/>
      <c r="F7" s="27"/>
      <c r="G7" s="28"/>
    </row>
    <row r="8" spans="1:7" x14ac:dyDescent="0.3">
      <c r="A8" s="24">
        <v>5</v>
      </c>
      <c r="B8" s="25">
        <v>46331</v>
      </c>
      <c r="C8" s="26"/>
      <c r="D8" s="27"/>
      <c r="E8" s="27"/>
      <c r="F8" s="27"/>
      <c r="G8" s="28"/>
    </row>
    <row r="9" spans="1:7" x14ac:dyDescent="0.3">
      <c r="A9" s="24">
        <v>6</v>
      </c>
      <c r="B9" s="25">
        <v>46338</v>
      </c>
      <c r="C9" s="26"/>
      <c r="D9" s="27"/>
      <c r="E9" s="27"/>
      <c r="F9" s="27"/>
      <c r="G9" s="28"/>
    </row>
    <row r="10" spans="1:7" x14ac:dyDescent="0.3">
      <c r="A10" s="24">
        <v>7</v>
      </c>
      <c r="B10" s="25">
        <v>46345</v>
      </c>
      <c r="C10" s="26"/>
      <c r="D10" s="27"/>
      <c r="E10" s="27"/>
      <c r="F10" s="27"/>
      <c r="G10" s="28"/>
    </row>
    <row r="11" spans="1:7" x14ac:dyDescent="0.3">
      <c r="A11" s="24">
        <v>8</v>
      </c>
      <c r="B11" s="25">
        <v>46352</v>
      </c>
      <c r="C11" s="26"/>
      <c r="D11" s="27"/>
      <c r="E11" s="27"/>
      <c r="F11" s="27"/>
      <c r="G11" s="28"/>
    </row>
    <row r="12" spans="1:7" x14ac:dyDescent="0.3">
      <c r="A12" s="24">
        <v>9</v>
      </c>
      <c r="B12" s="25">
        <v>46359</v>
      </c>
      <c r="C12" s="26"/>
      <c r="D12" s="27"/>
      <c r="E12" s="27"/>
      <c r="F12" s="27"/>
      <c r="G12" s="28"/>
    </row>
    <row r="13" spans="1:7" x14ac:dyDescent="0.3">
      <c r="A13" s="24">
        <v>10</v>
      </c>
      <c r="B13" s="25">
        <v>46366</v>
      </c>
      <c r="C13" s="26"/>
      <c r="D13" s="27"/>
      <c r="E13" s="27"/>
      <c r="F13" s="27"/>
      <c r="G13" s="28"/>
    </row>
    <row r="14" spans="1:7" x14ac:dyDescent="0.3">
      <c r="A14" s="24">
        <v>11</v>
      </c>
      <c r="B14" s="25">
        <v>46373</v>
      </c>
      <c r="C14" s="26"/>
      <c r="D14" s="27"/>
      <c r="E14" s="27"/>
      <c r="F14" s="27"/>
      <c r="G14" s="28"/>
    </row>
    <row r="16" spans="1:7" x14ac:dyDescent="0.3">
      <c r="A16" s="2" t="s">
        <v>133</v>
      </c>
    </row>
    <row r="17" spans="1:1" x14ac:dyDescent="0.3">
      <c r="A17" s="2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10" customWidth="1"/>
  </cols>
  <sheetData>
    <row r="1" spans="1:2" ht="15.6" x14ac:dyDescent="0.3">
      <c r="A1" s="29" t="s">
        <v>135</v>
      </c>
      <c r="B1" s="30"/>
    </row>
    <row r="2" spans="1:2" x14ac:dyDescent="0.3">
      <c r="A2" s="31" t="s">
        <v>136</v>
      </c>
      <c r="B2" s="30" t="s">
        <v>137</v>
      </c>
    </row>
    <row r="3" spans="1:2" ht="26.4" x14ac:dyDescent="0.3">
      <c r="A3" s="31" t="s">
        <v>138</v>
      </c>
      <c r="B3" s="30" t="s">
        <v>139</v>
      </c>
    </row>
    <row r="4" spans="1:2" x14ac:dyDescent="0.3">
      <c r="A4" s="31" t="s">
        <v>140</v>
      </c>
      <c r="B4" s="30" t="s">
        <v>141</v>
      </c>
    </row>
    <row r="5" spans="1:2" x14ac:dyDescent="0.3">
      <c r="A5" s="31" t="s">
        <v>142</v>
      </c>
      <c r="B5" s="30" t="s">
        <v>143</v>
      </c>
    </row>
    <row r="6" spans="1:2" x14ac:dyDescent="0.3">
      <c r="A6" s="31" t="s">
        <v>144</v>
      </c>
      <c r="B6" s="30" t="s">
        <v>145</v>
      </c>
    </row>
    <row r="7" spans="1:2" ht="26.4" x14ac:dyDescent="0.3">
      <c r="A7" s="31" t="s">
        <v>146</v>
      </c>
      <c r="B7" s="30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Tarefas</vt:lpstr>
      <vt:lpstr>Resumo por entrega</vt:lpstr>
      <vt:lpstr>Registo semanal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Dinis Manuel Alface Alves</cp:lastModifiedBy>
  <cp:revision>0</cp:revision>
  <dcterms:created xsi:type="dcterms:W3CDTF">2026-10-09T08:21:00Z</dcterms:created>
  <dcterms:modified xsi:type="dcterms:W3CDTF">2026-10-15T14:26:43Z</dcterms:modified>
  <dc:language>en-US</dc:language>
</cp:coreProperties>
</file>